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oridacrystalscorp-my.sharepoint.com/personal/shiyan_leelananda_asr-group_com/Documents/Desktop/Personel Info/Studies/Turin College Data Analysis Course/Curriculum/Introduction to Data Analytics/Sprint 1/"/>
    </mc:Choice>
  </mc:AlternateContent>
  <xr:revisionPtr revIDLastSave="516" documentId="8_{9DBFB0DD-199D-48CF-B21A-62FBED278782}" xr6:coauthVersionLast="47" xr6:coauthVersionMax="47" xr10:uidLastSave="{D164CC53-13AC-4BCF-83AF-A78CF6F40A22}"/>
  <bookViews>
    <workbookView xWindow="28680" yWindow="-4695" windowWidth="29040" windowHeight="17520" xr2:uid="{9055771F-9236-4E80-A9E6-49EE9CFCAA5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52" i="1"/>
  <c r="D53" i="1"/>
  <c r="D54" i="1"/>
  <c r="D55" i="1"/>
  <c r="D56" i="1"/>
  <c r="D57" i="1"/>
  <c r="D51" i="1"/>
  <c r="C57" i="1"/>
  <c r="C56" i="1"/>
  <c r="C55" i="1"/>
  <c r="C54" i="1"/>
  <c r="C53" i="1"/>
  <c r="C52" i="1"/>
  <c r="E52" i="1" s="1"/>
  <c r="C51" i="1"/>
  <c r="C41" i="1"/>
  <c r="C42" i="1"/>
  <c r="C43" i="1"/>
  <c r="C44" i="1"/>
  <c r="C45" i="1"/>
  <c r="C46" i="1"/>
  <c r="C47" i="1"/>
  <c r="C37" i="1"/>
  <c r="C38" i="1"/>
  <c r="C62" i="1" l="1"/>
  <c r="C67" i="1"/>
  <c r="E55" i="1"/>
  <c r="E54" i="1"/>
  <c r="E57" i="1"/>
  <c r="D58" i="1"/>
  <c r="C66" i="1" s="1"/>
  <c r="E56" i="1"/>
  <c r="E51" i="1"/>
  <c r="E53" i="1"/>
  <c r="C58" i="1"/>
  <c r="C48" i="1"/>
  <c r="D45" i="1" s="1"/>
  <c r="D66" i="1" s="1"/>
  <c r="C65" i="1" l="1"/>
  <c r="C64" i="1"/>
  <c r="C63" i="1"/>
  <c r="E66" i="1"/>
  <c r="C68" i="1"/>
  <c r="E58" i="1"/>
  <c r="D46" i="1"/>
  <c r="D67" i="1" s="1"/>
  <c r="E67" i="1" s="1"/>
  <c r="D47" i="1"/>
  <c r="D68" i="1" s="1"/>
  <c r="D41" i="1"/>
  <c r="D62" i="1" s="1"/>
  <c r="E62" i="1" s="1"/>
  <c r="D44" i="1"/>
  <c r="D65" i="1" s="1"/>
  <c r="D42" i="1"/>
  <c r="D63" i="1" s="1"/>
  <c r="D43" i="1"/>
  <c r="D64" i="1" s="1"/>
  <c r="E64" i="1" l="1"/>
  <c r="E68" i="1"/>
  <c r="E65" i="1"/>
  <c r="C69" i="1"/>
  <c r="D69" i="1"/>
  <c r="E63" i="1"/>
  <c r="D48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<sst xmlns="http://schemas.openxmlformats.org/spreadsheetml/2006/main" count="100" uniqueCount="49">
  <si>
    <t>Date</t>
  </si>
  <si>
    <t>Steps</t>
  </si>
  <si>
    <t>Ask</t>
  </si>
  <si>
    <t>Prepare</t>
  </si>
  <si>
    <t>Process</t>
  </si>
  <si>
    <t>Analyze</t>
  </si>
  <si>
    <t>Share</t>
  </si>
  <si>
    <t>Act</t>
  </si>
  <si>
    <t>Daily Step Count</t>
  </si>
  <si>
    <t>Topic - Number of steps taken per day</t>
  </si>
  <si>
    <t>1) I would like to increase the amount of steps taken per day</t>
  </si>
  <si>
    <t>2) I would like to maintain an average of 10k steps per day</t>
  </si>
  <si>
    <t>Problem Solving Question? What motivates or prevents me from being more active</t>
  </si>
  <si>
    <t>1) Data is stored in an excel worksheet in a secured company folder</t>
  </si>
  <si>
    <t>2) Data is measured in number of steps taken per day</t>
  </si>
  <si>
    <t>Day of the week</t>
  </si>
  <si>
    <t>Sunday</t>
  </si>
  <si>
    <t>Monday</t>
  </si>
  <si>
    <t>Tuesday</t>
  </si>
  <si>
    <t>Wednesday</t>
  </si>
  <si>
    <t>Thursday</t>
  </si>
  <si>
    <t>Friday</t>
  </si>
  <si>
    <t>Saturday</t>
  </si>
  <si>
    <t>Statistics</t>
  </si>
  <si>
    <t>Average</t>
  </si>
  <si>
    <t>Average steps</t>
  </si>
  <si>
    <t>Total steps</t>
  </si>
  <si>
    <t>Total Steps</t>
  </si>
  <si>
    <t>Total</t>
  </si>
  <si>
    <t>Count</t>
  </si>
  <si>
    <t>1) Completed a total of 161k steps within 30 days</t>
  </si>
  <si>
    <t>2) Average steps per day is 5,384</t>
  </si>
  <si>
    <t>1) Consider walking a lot more on Tuesday and Friday to improve average</t>
  </si>
  <si>
    <t>2) Consider walking a bit more on Monday and Sunday to improve average</t>
  </si>
  <si>
    <t>% of distribution</t>
  </si>
  <si>
    <t>% of steps</t>
  </si>
  <si>
    <t>Variance</t>
  </si>
  <si>
    <t>3) Maintain consistency across all days</t>
  </si>
  <si>
    <t xml:space="preserve">4) Established that Tuesday/Fridays walking is less due to working from home </t>
  </si>
  <si>
    <t>4) Majority of steps/higher % of steps were on Wednesday and Saturday</t>
  </si>
  <si>
    <t xml:space="preserve">5) Least amount of steps/lowest % of steps on Tuesday and Friday </t>
  </si>
  <si>
    <t>6) Average steps per day of the week show the same results as 3 and 4</t>
  </si>
  <si>
    <t xml:space="preserve">Chart </t>
  </si>
  <si>
    <t>7) Significant improvement needed to increase average steps to 10,000</t>
  </si>
  <si>
    <t>8) Monday and Sunday had a lower step count even though it had more data points</t>
  </si>
  <si>
    <t>% distribution</t>
  </si>
  <si>
    <t>1) Daily steps data collected from personal phone over the last 30 days</t>
  </si>
  <si>
    <t>3) Only 1 dat point has reached 10,000 steps, maybe target is too high?</t>
  </si>
  <si>
    <t>9) Stronger steps to distribution variance seen on Sunday (Similar to chart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</si>
</sst>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5" xfId="0" applyNumberForma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0" fillId="0" borderId="5" xfId="0" applyBorder="1"/>
    <xf numFmtId="0" fontId="0" fillId="0" borderId="7" xfId="0" applyBorder="1"/>
    <xf numFmtId="164" fontId="0" fillId="0" borderId="9" xfId="0" applyNumberFormat="1" applyBorder="1"/>
    <xf numFmtId="0" fontId="2" fillId="2" borderId="25" xfId="0" applyFont="1" applyFill="1" applyBorder="1"/>
    <xf numFmtId="0" fontId="2" fillId="2" borderId="2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4" fontId="0" fillId="0" borderId="0" xfId="1" applyNumberFormat="1" applyFont="1" applyBorder="1"/>
    <xf numFmtId="164" fontId="0" fillId="0" borderId="8" xfId="0" applyNumberFormat="1" applyBorder="1"/>
    <xf numFmtId="0" fontId="0" fillId="0" borderId="6" xfId="0" applyBorder="1"/>
    <xf numFmtId="0" fontId="0" fillId="0" borderId="9" xfId="0" applyBorder="1"/>
    <xf numFmtId="9" fontId="0" fillId="0" borderId="6" xfId="2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164" fontId="0" fillId="0" borderId="0" xfId="0" applyNumberFormat="1"/>
    <xf numFmtId="1" fontId="0" fillId="0" borderId="0" xfId="2" applyNumberFormat="1" applyFont="1" applyBorder="1" applyAlignment="1">
      <alignment horizontal="center"/>
    </xf>
    <xf numFmtId="164" fontId="0" fillId="0" borderId="6" xfId="0" applyNumberFormat="1" applyBorder="1"/>
    <xf numFmtId="164" fontId="0" fillId="0" borderId="8" xfId="0" applyNumberFormat="1" applyBorder="1" applyAlignment="1">
      <alignment horizontal="center"/>
    </xf>
    <xf numFmtId="9" fontId="0" fillId="0" borderId="0" xfId="1" applyNumberFormat="1" applyFont="1" applyBorder="1"/>
    <xf numFmtId="9" fontId="0" fillId="0" borderId="8" xfId="0" applyNumberFormat="1" applyBorder="1"/>
    <xf numFmtId="9" fontId="0" fillId="0" borderId="6" xfId="0" applyNumberFormat="1" applyBorder="1"/>
    <xf numFmtId="14" fontId="0" fillId="0" borderId="25" xfId="0" applyNumberFormat="1" applyBorder="1" applyAlignment="1">
      <alignment horizontal="center"/>
    </xf>
    <xf numFmtId="164" fontId="0" fillId="0" borderId="26" xfId="1" applyNumberFormat="1" applyFon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22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1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 step</a:t>
            </a:r>
            <a:r>
              <a:rPr lang="en-US" b="1" baseline="0"/>
              <a:t> count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Steps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27-4D3D-ABFA-AD119DD4305B}"/>
              </c:ext>
            </c:extLst>
          </c:dPt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27-4D3D-ABFA-AD119DD430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Sheet1!$C$4:$C$34</c:f>
              <c:strCache>
                <c:ptCount val="31"/>
                <c:pt idx="0">
                  <c:v>28/12/2025</c:v>
                </c:pt>
                <c:pt idx="1">
                  <c:v>29/12/2025</c:v>
                </c:pt>
                <c:pt idx="2">
                  <c:v>30/12/2025</c:v>
                </c:pt>
                <c:pt idx="3">
                  <c:v>31/12/2025</c:v>
                </c:pt>
                <c:pt idx="4">
                  <c:v>01/01/2026</c:v>
                </c:pt>
                <c:pt idx="5">
                  <c:v>02/01/2026</c:v>
                </c:pt>
                <c:pt idx="6">
                  <c:v>03/01/2026</c:v>
                </c:pt>
                <c:pt idx="7">
                  <c:v>04/01/2026</c:v>
                </c:pt>
                <c:pt idx="8">
                  <c:v>05/01/2026</c:v>
                </c:pt>
                <c:pt idx="9">
                  <c:v>06/01/2026</c:v>
                </c:pt>
                <c:pt idx="10">
                  <c:v>07/01/2026</c:v>
                </c:pt>
                <c:pt idx="11">
                  <c:v>08/01/2026</c:v>
                </c:pt>
                <c:pt idx="12">
                  <c:v>09/01/2026</c:v>
                </c:pt>
                <c:pt idx="13">
                  <c:v>10/01/2026</c:v>
                </c:pt>
                <c:pt idx="14">
                  <c:v>11/01/2026</c:v>
                </c:pt>
                <c:pt idx="15">
                  <c:v>12/01/2026</c:v>
                </c:pt>
                <c:pt idx="16">
                  <c:v>13/01/2026</c:v>
                </c:pt>
                <c:pt idx="17">
                  <c:v>14/01/2026</c:v>
                </c:pt>
                <c:pt idx="18">
                  <c:v>15/01/2026</c:v>
                </c:pt>
                <c:pt idx="19">
                  <c:v>16/01/2026</c:v>
                </c:pt>
                <c:pt idx="20">
                  <c:v>17/01/2026</c:v>
                </c:pt>
                <c:pt idx="21">
                  <c:v>18/01/2026</c:v>
                </c:pt>
                <c:pt idx="22">
                  <c:v>19/01/2026</c:v>
                </c:pt>
                <c:pt idx="23">
                  <c:v>20/01/2026</c:v>
                </c:pt>
                <c:pt idx="24">
                  <c:v>21/01/2026</c:v>
                </c:pt>
                <c:pt idx="25">
                  <c:v>22/01/2026</c:v>
                </c:pt>
                <c:pt idx="26">
                  <c:v>23/01/2026</c:v>
                </c:pt>
                <c:pt idx="27">
                  <c:v>24/01/2026</c:v>
                </c:pt>
                <c:pt idx="28">
                  <c:v>25/01/2026</c:v>
                </c:pt>
                <c:pt idx="29">
                  <c:v>26/01/2026</c:v>
                </c:pt>
                <c:pt idx="30">
                  <c:v>Average</c:v>
                </c:pt>
              </c:strCache>
            </c:strRef>
          </c:cat>
          <c:val>
            <c:numRef>
              <c:f>Sheet1!$D$4:$D$34</c:f>
              <c:numCache>
                <c:formatCode>_-* #,##0_-;\-* #,##0_-;_-* "-"??_-;_-@_-</c:formatCode>
                <c:ptCount val="31"/>
                <c:pt idx="0">
                  <c:v>8947</c:v>
                </c:pt>
                <c:pt idx="1">
                  <c:v>2267</c:v>
                </c:pt>
                <c:pt idx="2">
                  <c:v>9145</c:v>
                </c:pt>
                <c:pt idx="3">
                  <c:v>9071</c:v>
                </c:pt>
                <c:pt idx="4">
                  <c:v>8899</c:v>
                </c:pt>
                <c:pt idx="5">
                  <c:v>937</c:v>
                </c:pt>
                <c:pt idx="6">
                  <c:v>5313</c:v>
                </c:pt>
                <c:pt idx="7">
                  <c:v>2479</c:v>
                </c:pt>
                <c:pt idx="8">
                  <c:v>4755</c:v>
                </c:pt>
                <c:pt idx="9">
                  <c:v>1763</c:v>
                </c:pt>
                <c:pt idx="10">
                  <c:v>7074</c:v>
                </c:pt>
                <c:pt idx="11">
                  <c:v>4052</c:v>
                </c:pt>
                <c:pt idx="12">
                  <c:v>187</c:v>
                </c:pt>
                <c:pt idx="13">
                  <c:v>10041</c:v>
                </c:pt>
                <c:pt idx="14">
                  <c:v>283</c:v>
                </c:pt>
                <c:pt idx="15">
                  <c:v>7560</c:v>
                </c:pt>
                <c:pt idx="16">
                  <c:v>200</c:v>
                </c:pt>
                <c:pt idx="17">
                  <c:v>7865</c:v>
                </c:pt>
                <c:pt idx="18">
                  <c:v>6966</c:v>
                </c:pt>
                <c:pt idx="19">
                  <c:v>5439</c:v>
                </c:pt>
                <c:pt idx="20">
                  <c:v>8208</c:v>
                </c:pt>
                <c:pt idx="21">
                  <c:v>6170</c:v>
                </c:pt>
                <c:pt idx="22">
                  <c:v>8935</c:v>
                </c:pt>
                <c:pt idx="23">
                  <c:v>144</c:v>
                </c:pt>
                <c:pt idx="24">
                  <c:v>7333</c:v>
                </c:pt>
                <c:pt idx="25">
                  <c:v>6879</c:v>
                </c:pt>
                <c:pt idx="26">
                  <c:v>860</c:v>
                </c:pt>
                <c:pt idx="27">
                  <c:v>9555</c:v>
                </c:pt>
                <c:pt idx="28">
                  <c:v>4859</c:v>
                </c:pt>
                <c:pt idx="29">
                  <c:v>5333</c:v>
                </c:pt>
                <c:pt idx="30">
                  <c:v>5383.9666666666662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7-4D3D-ABFA-AD119DD43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002759807"/>
        <c:axId val="2002757887"/>
      </c:barChart>
      <c:catAx>
        <c:axId val="2002759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57887"/>
        <c:crosses val="autoZero"/>
        <c:auto val="1"/>
        <c:lblAlgn val="ctr"/>
        <c:lblOffset val="100"/>
        <c:noMultiLvlLbl val="0"/>
      </c:catAx>
      <c:valAx>
        <c:axId val="200275788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5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Steps</a:t>
            </a:r>
            <a:r>
              <a:rPr lang="en-GB" b="1" baseline="0"/>
              <a:t> per day of the week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Sheet1!$C$40</c:f>
              <c:strCache>
                <c:ptCount val="1"/>
                <c:pt idx="0">
                  <c:v>Total Steps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168C500-982A-4732-A7A7-E72A3B3DA11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4B887D6-E504-4AB8-8AC5-A2D6BCA96D8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D5A-4A31-9EE2-7BC609C145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2C810C-3CB1-4E9E-864E-B5F5727831A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445AEC6-41C7-4CDB-B78E-4C900580085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D5A-4A31-9EE2-7BC609C145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6743729-59FE-4818-B453-BED16ED47E7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5E7CEE9-0FC1-4B67-BA65-8052516521E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D5A-4A31-9EE2-7BC609C145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BD2081C-1FA5-4E9A-880C-169C5C8DB61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1F20F1C-6394-472C-AA9E-1A815D5FDCA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D5A-4A31-9EE2-7BC609C145F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A2FF1B-FF1B-40D6-89E7-97D2CDF94D4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28C15FC-DE57-48E7-AAF2-270095608B8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D5A-4A31-9EE2-7BC609C145F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73ED98-DDDF-407A-BBFD-0D91C706B0A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3587FC7-408A-4511-8A8D-6CBB38D86B3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D5A-4A31-9EE2-7BC609C145F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DCA2292-BE38-405B-9A2A-D1F4F7F47A7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34C9BC0-755A-4401-A6B7-56A7B48FE9C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D5A-4A31-9EE2-7BC609C145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Sheet1!$B$41:$B$47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Sheet1!$C$41:$C$47</c:f>
              <c:numCache>
                <c:formatCode>_-* #,##0_-;\-* #,##0_-;_-* "-"??_-;_-@_-</c:formatCode>
                <c:ptCount val="7"/>
                <c:pt idx="0">
                  <c:v>28850</c:v>
                </c:pt>
                <c:pt idx="1">
                  <c:v>11252</c:v>
                </c:pt>
                <c:pt idx="2">
                  <c:v>31343</c:v>
                </c:pt>
                <c:pt idx="3">
                  <c:v>26796</c:v>
                </c:pt>
                <c:pt idx="4">
                  <c:v>7423</c:v>
                </c:pt>
                <c:pt idx="5">
                  <c:v>33117</c:v>
                </c:pt>
                <c:pt idx="6">
                  <c:v>22738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Sheet1!$D$41:$D$47</c15:f>
                <c15:dlblRangeCache>
                  <c:ptCount val="7"/>
                  <c:pt idx="0">
                    <c:v>18%</c:v>
                  </c:pt>
                  <c:pt idx="1">
                    <c:v>7%</c:v>
                  </c:pt>
                  <c:pt idx="2">
                    <c:v>19%</c:v>
                  </c:pt>
                  <c:pt idx="3">
                    <c:v>17%</c:v>
                  </c:pt>
                  <c:pt idx="4">
                    <c:v>5%</c:v>
                  </c:pt>
                  <c:pt idx="5">
                    <c:v>21%</c:v>
                  </c:pt>
                  <c:pt idx="6">
                    <c:v>14%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D5A-4A31-9EE2-7BC609C14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0582351"/>
        <c:axId val="1140579471"/>
      </c:barChart>
      <c:lineChart>
        <c:grouping val="standard"/>
        <c:varyColors val="0"/>
        <c:ser>
          <c:idx val="1"/>
          <c:order val="1"/>
          <c:tx>
            <c:strRef>
              <c:f>Sheet1!$D$40</c:f>
              <c:strCache>
                <c:ptCount val="1"/>
                <c:pt idx="0">
                  <c:v>% distribution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Sheet1!$B$41:$B$47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Sheet1!$D$41:$D$47</c:f>
              <c:numCache>
                <c:formatCode>0%</c:formatCode>
                <c:ptCount val="7"/>
                <c:pt idx="0">
                  <c:v>0.17861675716169614</c:v>
                </c:pt>
                <c:pt idx="1">
                  <c:v>6.9663630904104157E-2</c:v>
                </c:pt>
                <c:pt idx="2">
                  <c:v>0.1940514738204174</c:v>
                </c:pt>
                <c:pt idx="3">
                  <c:v>0.16589998699843361</c:v>
                </c:pt>
                <c:pt idx="4">
                  <c:v>4.5957441539385462E-2</c:v>
                </c:pt>
                <c:pt idx="5">
                  <c:v>0.20503470179978825</c:v>
                </c:pt>
                <c:pt idx="6">
                  <c:v>0.14077600777617494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A-4A31-9EE2-7BC609C14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854351"/>
        <c:axId val="971338847"/>
      </c:lineChart>
      <c:catAx>
        <c:axId val="114058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79471"/>
        <c:crosses val="autoZero"/>
        <c:auto val="1"/>
        <c:lblAlgn val="ctr"/>
        <c:lblOffset val="100"/>
        <c:noMultiLvlLbl val="0"/>
      </c:catAx>
      <c:valAx>
        <c:axId val="1140579471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82351"/>
        <c:crosses val="autoZero"/>
        <c:crossBetween val="between"/>
      </c:valAx>
      <c:valAx>
        <c:axId val="97133884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54351"/>
        <c:crosses val="max"/>
        <c:crossBetween val="between"/>
      </c:valAx>
      <c:catAx>
        <c:axId val="964854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1338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steps per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Sheet1!$E$50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Sheet1!$B$51:$B$58</c:f>
              <c:strCache>
                <c:ptCount val="8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Total</c:v>
                </c:pt>
              </c:strCache>
            </c:strRef>
          </c:cat>
          <c:val>
            <c:numRef>
              <c:f>Sheet1!$E$51:$E$58</c:f>
              <c:numCache>
                <c:formatCode>_-* #,##0_-;\-* #,##0_-;_-* "-"??_-;_-@_-</c:formatCode>
                <c:ptCount val="8"/>
                <c:pt idx="0">
                  <c:v>5770</c:v>
                </c:pt>
                <c:pt idx="1">
                  <c:v>2813</c:v>
                </c:pt>
                <c:pt idx="2">
                  <c:v>7835.75</c:v>
                </c:pt>
                <c:pt idx="3">
                  <c:v>6699</c:v>
                </c:pt>
                <c:pt idx="4">
                  <c:v>1855.75</c:v>
                </c:pt>
                <c:pt idx="5">
                  <c:v>8279.25</c:v>
                </c:pt>
                <c:pt idx="6">
                  <c:v>4547.6000000000004</c:v>
                </c:pt>
                <c:pt idx="7">
                  <c:v>5383.9666666666662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7-4797-A96A-D9D6C8EBA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10768"/>
        <c:axId val="27910288"/>
      </c:barChart>
      <c:catAx>
        <c:axId val="2791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0288"/>
        <c:crosses val="autoZero"/>
        <c:auto val="1"/>
        <c:lblAlgn val="ctr"/>
        <c:lblOffset val="100"/>
        <c:noMultiLvlLbl val="0"/>
      </c:catAx>
      <c:valAx>
        <c:axId val="27910288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Steps to distribution variance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Sheet1!$C$61</c:f>
              <c:strCache>
                <c:ptCount val="1"/>
                <c:pt idx="0">
                  <c:v>% of distribution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Sheet1!$B$62:$B$68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Sheet1!$C$62:$C$68</c:f>
              <c:numCache>
                <c:formatCode>0%</c:formatCode>
                <c:ptCount val="7"/>
                <c:pt idx="0">
                  <c:v>0.16666666666666666</c:v>
                </c:pt>
                <c:pt idx="1">
                  <c:v>0.13333333333333333</c:v>
                </c:pt>
                <c:pt idx="2">
                  <c:v>0.13333333333333333</c:v>
                </c:pt>
                <c:pt idx="3">
                  <c:v>0.13333333333333333</c:v>
                </c:pt>
                <c:pt idx="4">
                  <c:v>0.13333333333333333</c:v>
                </c:pt>
                <c:pt idx="5">
                  <c:v>0.13333333333333333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3-4CB2-958D-ED067E212807}"/>
            </c:ext>
          </c:extLst>
        </c:ser>
        <c:ser>
          <c:idx val="1"/>
          <c:order val="1"/>
          <c:tx>
            <c:strRef>
              <c:f>Sheet1!$D$61</c:f>
              <c:strCache>
                <c:ptCount val="1"/>
                <c:pt idx="0">
                  <c:v>% of steps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Sheet1!$B$62:$B$68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Sheet1!$D$62:$D$68</c:f>
              <c:numCache>
                <c:formatCode>0%</c:formatCode>
                <c:ptCount val="7"/>
                <c:pt idx="0">
                  <c:v>0.17861675716169614</c:v>
                </c:pt>
                <c:pt idx="1">
                  <c:v>6.9663630904104157E-2</c:v>
                </c:pt>
                <c:pt idx="2">
                  <c:v>0.1940514738204174</c:v>
                </c:pt>
                <c:pt idx="3">
                  <c:v>0.16589998699843361</c:v>
                </c:pt>
                <c:pt idx="4">
                  <c:v>4.5957441539385462E-2</c:v>
                </c:pt>
                <c:pt idx="5">
                  <c:v>0.20503470179978825</c:v>
                </c:pt>
                <c:pt idx="6">
                  <c:v>0.14077600777617494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B3-4CB2-958D-ED067E212807}"/>
            </c:ext>
          </c:extLst>
        </c:ser>
        <c:ser>
          <c:idx val="2"/>
          <c:order val="2"/>
          <c:tx>
            <c:strRef>
              <c:f>Sheet1!$E$61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Sheet1!$B$62:$B$68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Sheet1!$E$62:$E$68</c:f>
              <c:numCache>
                <c:formatCode>0%</c:formatCode>
                <c:ptCount val="7"/>
                <c:pt idx="0">
                  <c:v>1.1950090495029486E-2</c:v>
                </c:pt>
                <c:pt idx="1">
                  <c:v>-6.3669702429229175E-2</c:v>
                </c:pt>
                <c:pt idx="2">
                  <c:v>6.0718140487084071E-2</c:v>
                </c:pt>
                <c:pt idx="3">
                  <c:v>3.2566653665100281E-2</c:v>
                </c:pt>
                <c:pt idx="4">
                  <c:v>-8.7375891793947863E-2</c:v>
                </c:pt>
                <c:pt idx="5">
                  <c:v>7.1701368466454918E-2</c:v>
                </c:pt>
                <c:pt idx="6">
                  <c:v>-2.5890658890491719E-2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B3-4CB2-958D-ED067E21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11248"/>
        <c:axId val="27900208"/>
      </c:barChart>
      <c:catAx>
        <c:axId val="279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00208"/>
        <c:crosses val="autoZero"/>
        <c:auto val="1"/>
        <c:lblAlgn val="ctr"/>
        <c:lblOffset val="100"/>
        <c:noMultiLvlLbl val="0"/>
      </c:catAx>
      <c:valAx>
        <c:axId val="279002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15874</xdr:colOff>
      <xdr:row>1</xdr:row>
      <xdr:rowOff>15874</xdr:rowOff>
    </xdr:from>
    <xdr:to>
      <xdr:col>17</xdr:col>
      <xdr:colOff>19050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D1E55-EEA0-4C5B-0A02-50A7B0FA5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3174</xdr:colOff>
      <xdr:row>20</xdr:row>
      <xdr:rowOff>3174</xdr:rowOff>
    </xdr:from>
    <xdr:to>
      <xdr:col>17</xdr:col>
      <xdr:colOff>12700</xdr:colOff>
      <xdr:row>36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5289DE-48E6-31D2-EA0C-67142F235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3174</xdr:colOff>
      <xdr:row>39</xdr:row>
      <xdr:rowOff>3174</xdr:rowOff>
    </xdr:from>
    <xdr:to>
      <xdr:col>17</xdr:col>
      <xdr:colOff>6349</xdr:colOff>
      <xdr:row>55</xdr:row>
      <xdr:rowOff>184149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99BE8C-6041-B55F-96BA-BFD4D0620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9524</xdr:colOff>
      <xdr:row>57</xdr:row>
      <xdr:rowOff>180974</xdr:rowOff>
    </xdr:from>
    <xdr:to>
      <xdr:col>16</xdr:col>
      <xdr:colOff>603250</xdr:colOff>
      <xdr:row>74</xdr:row>
      <xdr:rowOff>63499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1A91DD-F247-A2A3-95A6-B55F9DC54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22A3-8FA2-4B66-8511-D34CDE5147B9}">
  <dimension ref="B1:AH69"/>
  <sheetViews>
    <sheetView tabSelected="1" topLeftCell="B1" workbookViewId="0">
      <selection activeCell="T25" sqref="T25:AA25"/>
    </sheetView>
  </sheetViews>
  <sheetFormatPr defaultRowHeight="14.5" x14ac:dyDescent="0.35"/>
  <cols>
    <col min="2" max="2" width="14.7265625" bestFit="1" customWidth="1"/>
    <col min="3" max="3" width="14.6328125" bestFit="1" customWidth="1"/>
    <col min="4" max="4" width="12.54296875" bestFit="1" customWidth="1"/>
  </cols>
  <sheetData>
    <row r="1" spans="2:34" ht="15" thickBot="1" x14ac:dyDescent="0.4">
      <c r="T1" s="39"/>
      <c r="U1" s="39"/>
      <c r="V1" s="39"/>
      <c r="W1" s="39"/>
      <c r="X1" s="39"/>
      <c r="Y1" s="39"/>
      <c r="Z1" s="39"/>
      <c r="AA1" s="39"/>
    </row>
    <row r="2" spans="2:34" x14ac:dyDescent="0.35">
      <c r="B2" s="30" t="s">
        <v>8</v>
      </c>
      <c r="C2" s="31"/>
      <c r="D2" s="32"/>
      <c r="T2" s="66" t="s">
        <v>9</v>
      </c>
      <c r="U2" s="67"/>
      <c r="V2" s="67"/>
      <c r="W2" s="67"/>
      <c r="X2" s="67"/>
      <c r="Y2" s="67"/>
      <c r="Z2" s="67"/>
      <c r="AA2" s="68"/>
    </row>
    <row r="3" spans="2:34" ht="15" thickBot="1" x14ac:dyDescent="0.4">
      <c r="B3" s="5" t="s">
        <v>15</v>
      </c>
      <c r="C3" s="5" t="s">
        <v>0</v>
      </c>
      <c r="D3" s="5" t="s">
        <v>1</v>
      </c>
      <c r="T3" s="36"/>
      <c r="U3" s="37"/>
      <c r="V3" s="37"/>
      <c r="W3" s="37"/>
      <c r="X3" s="37"/>
      <c r="Y3" s="37"/>
      <c r="Z3" s="37"/>
      <c r="AA3" s="38"/>
    </row>
    <row r="4" spans="2:34" ht="15" thickBot="1" x14ac:dyDescent="0.4">
      <c r="B4" s="26" t="s">
        <v>16</v>
      </c>
      <c r="C4" s="26">
        <v>46019</v>
      </c>
      <c r="D4" s="27">
        <v>8947</v>
      </c>
      <c r="T4" s="57" t="s">
        <v>2</v>
      </c>
      <c r="U4" s="58"/>
      <c r="V4" s="58"/>
      <c r="W4" s="58"/>
      <c r="X4" s="58"/>
      <c r="Y4" s="58"/>
      <c r="Z4" s="58"/>
      <c r="AA4" s="59"/>
      <c r="AC4" s="40" t="s">
        <v>12</v>
      </c>
      <c r="AD4" s="41"/>
      <c r="AE4" s="41"/>
      <c r="AF4" s="41"/>
      <c r="AG4" s="41"/>
      <c r="AH4" s="42"/>
    </row>
    <row r="5" spans="2:34" x14ac:dyDescent="0.35">
      <c r="B5" s="3" t="s">
        <v>17</v>
      </c>
      <c r="C5" s="3">
        <v>46020</v>
      </c>
      <c r="D5" s="4">
        <v>2267</v>
      </c>
      <c r="T5" s="33" t="s">
        <v>10</v>
      </c>
      <c r="U5" s="34"/>
      <c r="V5" s="34"/>
      <c r="W5" s="34"/>
      <c r="X5" s="34"/>
      <c r="Y5" s="34"/>
      <c r="Z5" s="34"/>
      <c r="AA5" s="35"/>
      <c r="AC5" s="43"/>
      <c r="AD5" s="44"/>
      <c r="AE5" s="44"/>
      <c r="AF5" s="44"/>
      <c r="AG5" s="44"/>
      <c r="AH5" s="45"/>
    </row>
    <row r="6" spans="2:34" ht="15" thickBot="1" x14ac:dyDescent="0.4">
      <c r="B6" s="3" t="s">
        <v>18</v>
      </c>
      <c r="C6" s="3">
        <v>46021</v>
      </c>
      <c r="D6" s="4">
        <v>9145</v>
      </c>
      <c r="T6" s="33" t="s">
        <v>11</v>
      </c>
      <c r="U6" s="34"/>
      <c r="V6" s="34"/>
      <c r="W6" s="34"/>
      <c r="X6" s="34"/>
      <c r="Y6" s="34"/>
      <c r="Z6" s="34"/>
      <c r="AA6" s="35"/>
      <c r="AC6" s="46"/>
      <c r="AD6" s="47"/>
      <c r="AE6" s="47"/>
      <c r="AF6" s="47"/>
      <c r="AG6" s="47"/>
      <c r="AH6" s="48"/>
    </row>
    <row r="7" spans="2:34" ht="15" thickBot="1" x14ac:dyDescent="0.4">
      <c r="B7" s="3" t="s">
        <v>19</v>
      </c>
      <c r="C7" s="3">
        <v>46022</v>
      </c>
      <c r="D7" s="4">
        <v>9071</v>
      </c>
      <c r="T7" s="63"/>
      <c r="U7" s="64"/>
      <c r="V7" s="64"/>
      <c r="W7" s="64"/>
      <c r="X7" s="64"/>
      <c r="Y7" s="64"/>
      <c r="Z7" s="64"/>
      <c r="AA7" s="65"/>
    </row>
    <row r="8" spans="2:34" ht="15" thickBot="1" x14ac:dyDescent="0.4">
      <c r="B8" s="3" t="s">
        <v>20</v>
      </c>
      <c r="C8" s="3">
        <v>46023</v>
      </c>
      <c r="D8" s="4">
        <v>8899</v>
      </c>
      <c r="T8" s="57" t="s">
        <v>3</v>
      </c>
      <c r="U8" s="58"/>
      <c r="V8" s="58"/>
      <c r="W8" s="58"/>
      <c r="X8" s="58"/>
      <c r="Y8" s="58"/>
      <c r="Z8" s="58"/>
      <c r="AA8" s="59"/>
    </row>
    <row r="9" spans="2:34" x14ac:dyDescent="0.35">
      <c r="B9" s="3" t="s">
        <v>21</v>
      </c>
      <c r="C9" s="3">
        <v>46024</v>
      </c>
      <c r="D9" s="4">
        <v>937</v>
      </c>
      <c r="T9" s="60" t="s">
        <v>46</v>
      </c>
      <c r="U9" s="61"/>
      <c r="V9" s="61"/>
      <c r="W9" s="61"/>
      <c r="X9" s="61"/>
      <c r="Y9" s="61"/>
      <c r="Z9" s="61"/>
      <c r="AA9" s="62"/>
    </row>
    <row r="10" spans="2:34" ht="15" thickBot="1" x14ac:dyDescent="0.4">
      <c r="B10" s="3" t="s">
        <v>22</v>
      </c>
      <c r="C10" s="3">
        <v>46025</v>
      </c>
      <c r="D10" s="4">
        <v>5313</v>
      </c>
      <c r="T10" s="63"/>
      <c r="U10" s="64"/>
      <c r="V10" s="64"/>
      <c r="W10" s="64"/>
      <c r="X10" s="64"/>
      <c r="Y10" s="64"/>
      <c r="Z10" s="64"/>
      <c r="AA10" s="65"/>
    </row>
    <row r="11" spans="2:34" ht="15" thickBot="1" x14ac:dyDescent="0.4">
      <c r="B11" s="3" t="s">
        <v>16</v>
      </c>
      <c r="C11" s="3">
        <v>46026</v>
      </c>
      <c r="D11" s="4">
        <v>2479</v>
      </c>
      <c r="T11" s="57" t="s">
        <v>4</v>
      </c>
      <c r="U11" s="58"/>
      <c r="V11" s="58"/>
      <c r="W11" s="58"/>
      <c r="X11" s="58"/>
      <c r="Y11" s="58"/>
      <c r="Z11" s="58"/>
      <c r="AA11" s="59"/>
    </row>
    <row r="12" spans="2:34" x14ac:dyDescent="0.35">
      <c r="B12" s="3" t="s">
        <v>17</v>
      </c>
      <c r="C12" s="3">
        <v>46027</v>
      </c>
      <c r="D12" s="4">
        <v>4755</v>
      </c>
      <c r="T12" s="60" t="s">
        <v>13</v>
      </c>
      <c r="U12" s="61"/>
      <c r="V12" s="61"/>
      <c r="W12" s="61"/>
      <c r="X12" s="61"/>
      <c r="Y12" s="61"/>
      <c r="Z12" s="61"/>
      <c r="AA12" s="62"/>
    </row>
    <row r="13" spans="2:34" x14ac:dyDescent="0.35">
      <c r="B13" s="3" t="s">
        <v>18</v>
      </c>
      <c r="C13" s="3">
        <v>46028</v>
      </c>
      <c r="D13" s="4">
        <v>1763</v>
      </c>
      <c r="T13" s="33" t="s">
        <v>14</v>
      </c>
      <c r="U13" s="34"/>
      <c r="V13" s="34"/>
      <c r="W13" s="34"/>
      <c r="X13" s="34"/>
      <c r="Y13" s="34"/>
      <c r="Z13" s="34"/>
      <c r="AA13" s="35"/>
    </row>
    <row r="14" spans="2:34" ht="15" thickBot="1" x14ac:dyDescent="0.4">
      <c r="B14" s="3" t="s">
        <v>19</v>
      </c>
      <c r="C14" s="3">
        <v>46029</v>
      </c>
      <c r="D14" s="4">
        <v>7074</v>
      </c>
      <c r="T14" s="54"/>
      <c r="U14" s="55"/>
      <c r="V14" s="55"/>
      <c r="W14" s="55"/>
      <c r="X14" s="55"/>
      <c r="Y14" s="55"/>
      <c r="Z14" s="55"/>
      <c r="AA14" s="56"/>
    </row>
    <row r="15" spans="2:34" ht="15" thickBot="1" x14ac:dyDescent="0.4">
      <c r="B15" s="3" t="s">
        <v>20</v>
      </c>
      <c r="C15" s="3">
        <v>46030</v>
      </c>
      <c r="D15" s="4">
        <v>4052</v>
      </c>
      <c r="T15" s="57" t="s">
        <v>5</v>
      </c>
      <c r="U15" s="58"/>
      <c r="V15" s="58"/>
      <c r="W15" s="58"/>
      <c r="X15" s="58"/>
      <c r="Y15" s="58"/>
      <c r="Z15" s="58"/>
      <c r="AA15" s="59"/>
      <c r="AB15" s="1" t="s">
        <v>42</v>
      </c>
    </row>
    <row r="16" spans="2:34" x14ac:dyDescent="0.35">
      <c r="B16" s="3" t="s">
        <v>21</v>
      </c>
      <c r="C16" s="3">
        <v>46031</v>
      </c>
      <c r="D16" s="4">
        <v>187</v>
      </c>
      <c r="T16" s="60" t="s">
        <v>30</v>
      </c>
      <c r="U16" s="61"/>
      <c r="V16" s="61"/>
      <c r="W16" s="61"/>
      <c r="X16" s="61"/>
      <c r="Y16" s="61"/>
      <c r="Z16" s="61"/>
      <c r="AA16" s="62"/>
      <c r="AB16">
        <v>1</v>
      </c>
    </row>
    <row r="17" spans="2:28" x14ac:dyDescent="0.35">
      <c r="B17" s="3" t="s">
        <v>22</v>
      </c>
      <c r="C17" s="3">
        <v>46032</v>
      </c>
      <c r="D17" s="4">
        <v>10041</v>
      </c>
      <c r="T17" s="33" t="s">
        <v>31</v>
      </c>
      <c r="U17" s="34"/>
      <c r="V17" s="34"/>
      <c r="W17" s="34"/>
      <c r="X17" s="34"/>
      <c r="Y17" s="34"/>
      <c r="Z17" s="34"/>
      <c r="AA17" s="35"/>
      <c r="AB17">
        <v>1</v>
      </c>
    </row>
    <row r="18" spans="2:28" x14ac:dyDescent="0.35">
      <c r="B18" s="3" t="s">
        <v>16</v>
      </c>
      <c r="C18" s="3">
        <v>46033</v>
      </c>
      <c r="D18" s="4">
        <v>283</v>
      </c>
      <c r="T18" s="49" t="s">
        <v>47</v>
      </c>
      <c r="U18" s="50"/>
      <c r="V18" s="50"/>
      <c r="W18" s="50"/>
      <c r="X18" s="50"/>
      <c r="Y18" s="50"/>
      <c r="Z18" s="50"/>
      <c r="AA18" s="51"/>
      <c r="AB18">
        <v>1</v>
      </c>
    </row>
    <row r="19" spans="2:28" x14ac:dyDescent="0.35">
      <c r="B19" s="3" t="s">
        <v>17</v>
      </c>
      <c r="C19" s="3">
        <v>46034</v>
      </c>
      <c r="D19" s="4">
        <v>7560</v>
      </c>
      <c r="T19" s="33" t="s">
        <v>39</v>
      </c>
      <c r="U19" s="34"/>
      <c r="V19" s="34"/>
      <c r="W19" s="34"/>
      <c r="X19" s="34"/>
      <c r="Y19" s="34"/>
      <c r="Z19" s="34"/>
      <c r="AA19" s="35"/>
      <c r="AB19">
        <v>2</v>
      </c>
    </row>
    <row r="20" spans="2:28" x14ac:dyDescent="0.35">
      <c r="B20" s="3" t="s">
        <v>18</v>
      </c>
      <c r="C20" s="3">
        <v>46035</v>
      </c>
      <c r="D20" s="4">
        <v>200</v>
      </c>
      <c r="T20" s="33" t="s">
        <v>40</v>
      </c>
      <c r="U20" s="34"/>
      <c r="V20" s="34"/>
      <c r="W20" s="34"/>
      <c r="X20" s="34"/>
      <c r="Y20" s="34"/>
      <c r="Z20" s="34"/>
      <c r="AA20" s="35"/>
      <c r="AB20">
        <v>2</v>
      </c>
    </row>
    <row r="21" spans="2:28" x14ac:dyDescent="0.35">
      <c r="B21" s="3" t="s">
        <v>19</v>
      </c>
      <c r="C21" s="3">
        <v>46036</v>
      </c>
      <c r="D21" s="4">
        <v>7865</v>
      </c>
      <c r="T21" s="33" t="s">
        <v>41</v>
      </c>
      <c r="U21" s="34"/>
      <c r="V21" s="34"/>
      <c r="W21" s="34"/>
      <c r="X21" s="34"/>
      <c r="Y21" s="34"/>
      <c r="Z21" s="34"/>
      <c r="AA21" s="35"/>
      <c r="AB21">
        <v>3</v>
      </c>
    </row>
    <row r="22" spans="2:28" x14ac:dyDescent="0.35">
      <c r="B22" s="3" t="s">
        <v>20</v>
      </c>
      <c r="C22" s="3">
        <v>46037</v>
      </c>
      <c r="D22" s="4">
        <v>6966</v>
      </c>
      <c r="T22" s="33" t="s">
        <v>43</v>
      </c>
      <c r="U22" s="34"/>
      <c r="V22" s="34"/>
      <c r="W22" s="34"/>
      <c r="X22" s="34"/>
      <c r="Y22" s="34"/>
      <c r="Z22" s="34"/>
      <c r="AA22" s="35"/>
      <c r="AB22">
        <v>3</v>
      </c>
    </row>
    <row r="23" spans="2:28" x14ac:dyDescent="0.35">
      <c r="B23" s="3" t="s">
        <v>21</v>
      </c>
      <c r="C23" s="3">
        <v>46038</v>
      </c>
      <c r="D23" s="4">
        <v>5439</v>
      </c>
      <c r="T23" s="33" t="s">
        <v>44</v>
      </c>
      <c r="U23" s="34"/>
      <c r="V23" s="34"/>
      <c r="W23" s="34"/>
      <c r="X23" s="34"/>
      <c r="Y23" s="34"/>
      <c r="Z23" s="34"/>
      <c r="AA23" s="35"/>
      <c r="AB23">
        <v>4</v>
      </c>
    </row>
    <row r="24" spans="2:28" x14ac:dyDescent="0.35">
      <c r="B24" s="3" t="s">
        <v>22</v>
      </c>
      <c r="C24" s="3">
        <v>46039</v>
      </c>
      <c r="D24" s="4">
        <v>8208</v>
      </c>
      <c r="T24" s="33" t="s">
        <v>48</v>
      </c>
      <c r="U24" s="34"/>
      <c r="V24" s="34"/>
      <c r="W24" s="34"/>
      <c r="X24" s="34"/>
      <c r="Y24" s="34"/>
      <c r="Z24" s="34"/>
      <c r="AA24" s="35"/>
      <c r="AB24">
        <v>4</v>
      </c>
    </row>
    <row r="25" spans="2:28" ht="15" thickBot="1" x14ac:dyDescent="0.4">
      <c r="B25" s="3" t="s">
        <v>16</v>
      </c>
      <c r="C25" s="3">
        <v>46040</v>
      </c>
      <c r="D25" s="4">
        <v>6170</v>
      </c>
      <c r="T25" s="54"/>
      <c r="U25" s="55"/>
      <c r="V25" s="55"/>
      <c r="W25" s="55"/>
      <c r="X25" s="55"/>
      <c r="Y25" s="55"/>
      <c r="Z25" s="55"/>
      <c r="AA25" s="56"/>
    </row>
    <row r="26" spans="2:28" ht="15" thickBot="1" x14ac:dyDescent="0.4">
      <c r="B26" s="3" t="s">
        <v>17</v>
      </c>
      <c r="C26" s="3">
        <v>46041</v>
      </c>
      <c r="D26" s="4">
        <v>8935</v>
      </c>
      <c r="T26" s="57" t="s">
        <v>6</v>
      </c>
      <c r="U26" s="58"/>
      <c r="V26" s="58"/>
      <c r="W26" s="58"/>
      <c r="X26" s="58"/>
      <c r="Y26" s="58"/>
      <c r="Z26" s="58"/>
      <c r="AA26" s="59"/>
    </row>
    <row r="27" spans="2:28" x14ac:dyDescent="0.35">
      <c r="B27" s="3" t="s">
        <v>18</v>
      </c>
      <c r="C27" s="3">
        <v>46042</v>
      </c>
      <c r="D27" s="4">
        <v>144</v>
      </c>
      <c r="T27" s="60"/>
      <c r="U27" s="61"/>
      <c r="V27" s="61"/>
      <c r="W27" s="61"/>
      <c r="X27" s="61"/>
      <c r="Y27" s="61"/>
      <c r="Z27" s="61"/>
      <c r="AA27" s="62"/>
    </row>
    <row r="28" spans="2:28" x14ac:dyDescent="0.35">
      <c r="B28" s="3" t="s">
        <v>19</v>
      </c>
      <c r="C28" s="3">
        <v>46043</v>
      </c>
      <c r="D28" s="4">
        <v>7333</v>
      </c>
      <c r="T28" s="63"/>
      <c r="U28" s="64"/>
      <c r="V28" s="64"/>
      <c r="W28" s="64"/>
      <c r="X28" s="64"/>
      <c r="Y28" s="64"/>
      <c r="Z28" s="64"/>
      <c r="AA28" s="65"/>
    </row>
    <row r="29" spans="2:28" x14ac:dyDescent="0.35">
      <c r="B29" s="3" t="s">
        <v>20</v>
      </c>
      <c r="C29" s="3">
        <v>46044</v>
      </c>
      <c r="D29" s="4">
        <v>6879</v>
      </c>
      <c r="T29" s="63"/>
      <c r="U29" s="64"/>
      <c r="V29" s="64"/>
      <c r="W29" s="64"/>
      <c r="X29" s="64"/>
      <c r="Y29" s="64"/>
      <c r="Z29" s="64"/>
      <c r="AA29" s="65"/>
    </row>
    <row r="30" spans="2:28" x14ac:dyDescent="0.35">
      <c r="B30" s="3" t="s">
        <v>21</v>
      </c>
      <c r="C30" s="3">
        <v>46045</v>
      </c>
      <c r="D30" s="4">
        <v>860</v>
      </c>
      <c r="T30" s="63"/>
      <c r="U30" s="64"/>
      <c r="V30" s="64"/>
      <c r="W30" s="64"/>
      <c r="X30" s="64"/>
      <c r="Y30" s="64"/>
      <c r="Z30" s="64"/>
      <c r="AA30" s="65"/>
    </row>
    <row r="31" spans="2:28" x14ac:dyDescent="0.35">
      <c r="B31" s="3" t="s">
        <v>22</v>
      </c>
      <c r="C31" s="3">
        <v>46046</v>
      </c>
      <c r="D31" s="4">
        <v>9555</v>
      </c>
      <c r="T31" s="52"/>
      <c r="U31" s="39"/>
      <c r="V31" s="39"/>
      <c r="W31" s="39"/>
      <c r="X31" s="39"/>
      <c r="Y31" s="39"/>
      <c r="Z31" s="39"/>
      <c r="AA31" s="53"/>
    </row>
    <row r="32" spans="2:28" ht="15" thickBot="1" x14ac:dyDescent="0.4">
      <c r="B32" s="3" t="s">
        <v>16</v>
      </c>
      <c r="C32" s="3">
        <v>46047</v>
      </c>
      <c r="D32" s="4">
        <v>4859</v>
      </c>
      <c r="T32" s="54"/>
      <c r="U32" s="55"/>
      <c r="V32" s="55"/>
      <c r="W32" s="55"/>
      <c r="X32" s="55"/>
      <c r="Y32" s="55"/>
      <c r="Z32" s="55"/>
      <c r="AA32" s="56"/>
    </row>
    <row r="33" spans="2:27" ht="15" thickBot="1" x14ac:dyDescent="0.4">
      <c r="B33" s="6" t="s">
        <v>17</v>
      </c>
      <c r="C33" s="3">
        <v>46048</v>
      </c>
      <c r="D33" s="4">
        <v>5333</v>
      </c>
      <c r="T33" s="57" t="s">
        <v>7</v>
      </c>
      <c r="U33" s="58"/>
      <c r="V33" s="58"/>
      <c r="W33" s="58"/>
      <c r="X33" s="58"/>
      <c r="Y33" s="58"/>
      <c r="Z33" s="58"/>
      <c r="AA33" s="59"/>
    </row>
    <row r="34" spans="2:27" x14ac:dyDescent="0.35">
      <c r="B34" s="28"/>
      <c r="C34" s="29" t="s">
        <v>24</v>
      </c>
      <c r="D34" s="9">
        <f>AVERAGE(D4:D33)</f>
        <v>5383.9666666666662</v>
      </c>
      <c r="T34" s="60" t="s">
        <v>32</v>
      </c>
      <c r="U34" s="61"/>
      <c r="V34" s="61"/>
      <c r="W34" s="61"/>
      <c r="X34" s="61"/>
      <c r="Y34" s="61"/>
      <c r="Z34" s="61"/>
      <c r="AA34" s="62"/>
    </row>
    <row r="35" spans="2:27" x14ac:dyDescent="0.35">
      <c r="C35" s="2"/>
      <c r="T35" s="33" t="s">
        <v>33</v>
      </c>
      <c r="U35" s="34"/>
      <c r="V35" s="34"/>
      <c r="W35" s="34"/>
      <c r="X35" s="34"/>
      <c r="Y35" s="34"/>
      <c r="Z35" s="34"/>
      <c r="AA35" s="35"/>
    </row>
    <row r="36" spans="2:27" x14ac:dyDescent="0.35">
      <c r="B36" s="30" t="s">
        <v>23</v>
      </c>
      <c r="C36" s="31"/>
      <c r="D36" s="32"/>
      <c r="T36" s="33" t="s">
        <v>37</v>
      </c>
      <c r="U36" s="34"/>
      <c r="V36" s="34"/>
      <c r="W36" s="34"/>
      <c r="X36" s="34"/>
      <c r="Y36" s="34"/>
      <c r="Z36" s="34"/>
      <c r="AA36" s="35"/>
    </row>
    <row r="37" spans="2:27" x14ac:dyDescent="0.35">
      <c r="B37" s="7" t="s">
        <v>26</v>
      </c>
      <c r="C37" s="19">
        <f>SUM(D4:D33)</f>
        <v>161519</v>
      </c>
      <c r="D37" s="15"/>
      <c r="T37" s="33" t="s">
        <v>38</v>
      </c>
      <c r="U37" s="34"/>
      <c r="V37" s="34"/>
      <c r="W37" s="34"/>
      <c r="X37" s="34"/>
      <c r="Y37" s="34"/>
      <c r="Z37" s="34"/>
      <c r="AA37" s="35"/>
    </row>
    <row r="38" spans="2:27" ht="15" thickBot="1" x14ac:dyDescent="0.4">
      <c r="B38" s="8" t="s">
        <v>25</v>
      </c>
      <c r="C38" s="14">
        <f>AVERAGE(D4:D33)</f>
        <v>5383.9666666666662</v>
      </c>
      <c r="D38" s="16"/>
      <c r="T38" s="36"/>
      <c r="U38" s="37"/>
      <c r="V38" s="37"/>
      <c r="W38" s="37"/>
      <c r="X38" s="37"/>
      <c r="Y38" s="37"/>
      <c r="Z38" s="37"/>
      <c r="AA38" s="38"/>
    </row>
    <row r="40" spans="2:27" x14ac:dyDescent="0.35">
      <c r="B40" s="10" t="s">
        <v>15</v>
      </c>
      <c r="C40" s="12" t="s">
        <v>27</v>
      </c>
      <c r="D40" s="11" t="s">
        <v>45</v>
      </c>
    </row>
    <row r="41" spans="2:27" x14ac:dyDescent="0.35">
      <c r="B41" s="7" t="s">
        <v>17</v>
      </c>
      <c r="C41" s="13">
        <f>SUMIFS($D$4:$D$33,$B$4:$B$33,B41)</f>
        <v>28850</v>
      </c>
      <c r="D41" s="17">
        <f>C41/$C$48</f>
        <v>0.17861675716169614</v>
      </c>
    </row>
    <row r="42" spans="2:27" x14ac:dyDescent="0.35">
      <c r="B42" s="7" t="s">
        <v>18</v>
      </c>
      <c r="C42" s="13">
        <f t="shared" ref="C42:C47" si="0">SUMIFS($D$4:$D$33,$B$4:$B$33,B42)</f>
        <v>11252</v>
      </c>
      <c r="D42" s="17">
        <f t="shared" ref="D42:D47" si="1">C42/$C$48</f>
        <v>6.9663630904104157E-2</v>
      </c>
    </row>
    <row r="43" spans="2:27" x14ac:dyDescent="0.35">
      <c r="B43" s="7" t="s">
        <v>19</v>
      </c>
      <c r="C43" s="13">
        <f t="shared" si="0"/>
        <v>31343</v>
      </c>
      <c r="D43" s="17">
        <f t="shared" si="1"/>
        <v>0.1940514738204174</v>
      </c>
    </row>
    <row r="44" spans="2:27" x14ac:dyDescent="0.35">
      <c r="B44" s="7" t="s">
        <v>20</v>
      </c>
      <c r="C44" s="13">
        <f t="shared" si="0"/>
        <v>26796</v>
      </c>
      <c r="D44" s="17">
        <f t="shared" si="1"/>
        <v>0.16589998699843361</v>
      </c>
    </row>
    <row r="45" spans="2:27" x14ac:dyDescent="0.35">
      <c r="B45" s="7" t="s">
        <v>21</v>
      </c>
      <c r="C45" s="13">
        <f t="shared" si="0"/>
        <v>7423</v>
      </c>
      <c r="D45" s="17">
        <f t="shared" si="1"/>
        <v>4.5957441539385462E-2</v>
      </c>
    </row>
    <row r="46" spans="2:27" x14ac:dyDescent="0.35">
      <c r="B46" s="7" t="s">
        <v>22</v>
      </c>
      <c r="C46" s="13">
        <f t="shared" si="0"/>
        <v>33117</v>
      </c>
      <c r="D46" s="17">
        <f t="shared" si="1"/>
        <v>0.20503470179978825</v>
      </c>
    </row>
    <row r="47" spans="2:27" x14ac:dyDescent="0.35">
      <c r="B47" s="7" t="s">
        <v>16</v>
      </c>
      <c r="C47" s="13">
        <f t="shared" si="0"/>
        <v>22738</v>
      </c>
      <c r="D47" s="17">
        <f t="shared" si="1"/>
        <v>0.14077600777617494</v>
      </c>
    </row>
    <row r="48" spans="2:27" x14ac:dyDescent="0.35">
      <c r="B48" s="8" t="s">
        <v>28</v>
      </c>
      <c r="C48" s="14">
        <f>SUM(C41:C47)</f>
        <v>161519</v>
      </c>
      <c r="D48" s="18">
        <f>SUM(D41:D47)</f>
        <v>0.99999999999999989</v>
      </c>
    </row>
    <row r="50" spans="2:5" x14ac:dyDescent="0.35">
      <c r="B50" s="10" t="s">
        <v>15</v>
      </c>
      <c r="C50" s="12" t="s">
        <v>27</v>
      </c>
      <c r="D50" s="12" t="s">
        <v>29</v>
      </c>
      <c r="E50" s="11" t="s">
        <v>24</v>
      </c>
    </row>
    <row r="51" spans="2:5" x14ac:dyDescent="0.35">
      <c r="B51" s="7" t="s">
        <v>17</v>
      </c>
      <c r="C51" s="13">
        <f>SUMIFS($D$4:$D$33,$B$4:$B$33,B51)</f>
        <v>28850</v>
      </c>
      <c r="D51" s="20">
        <f>COUNTIFS($B$4:$B$33,B51)</f>
        <v>5</v>
      </c>
      <c r="E51" s="21">
        <f>C51/D51</f>
        <v>5770</v>
      </c>
    </row>
    <row r="52" spans="2:5" x14ac:dyDescent="0.35">
      <c r="B52" s="7" t="s">
        <v>18</v>
      </c>
      <c r="C52" s="13">
        <f t="shared" ref="C52:C57" si="2">SUMIFS($D$4:$D$33,$B$4:$B$33,B52)</f>
        <v>11252</v>
      </c>
      <c r="D52" s="20">
        <f t="shared" ref="D52:D57" si="3">COUNTIFS($B$4:$B$33,B52)</f>
        <v>4</v>
      </c>
      <c r="E52" s="21">
        <f t="shared" ref="E52:E57" si="4">C52/D52</f>
        <v>2813</v>
      </c>
    </row>
    <row r="53" spans="2:5" x14ac:dyDescent="0.35">
      <c r="B53" s="7" t="s">
        <v>19</v>
      </c>
      <c r="C53" s="13">
        <f t="shared" si="2"/>
        <v>31343</v>
      </c>
      <c r="D53" s="20">
        <f t="shared" si="3"/>
        <v>4</v>
      </c>
      <c r="E53" s="21">
        <f t="shared" si="4"/>
        <v>7835.75</v>
      </c>
    </row>
    <row r="54" spans="2:5" x14ac:dyDescent="0.35">
      <c r="B54" s="7" t="s">
        <v>20</v>
      </c>
      <c r="C54" s="13">
        <f t="shared" si="2"/>
        <v>26796</v>
      </c>
      <c r="D54" s="20">
        <f t="shared" si="3"/>
        <v>4</v>
      </c>
      <c r="E54" s="21">
        <f t="shared" si="4"/>
        <v>6699</v>
      </c>
    </row>
    <row r="55" spans="2:5" x14ac:dyDescent="0.35">
      <c r="B55" s="7" t="s">
        <v>21</v>
      </c>
      <c r="C55" s="13">
        <f t="shared" si="2"/>
        <v>7423</v>
      </c>
      <c r="D55" s="20">
        <f t="shared" si="3"/>
        <v>4</v>
      </c>
      <c r="E55" s="21">
        <f t="shared" si="4"/>
        <v>1855.75</v>
      </c>
    </row>
    <row r="56" spans="2:5" x14ac:dyDescent="0.35">
      <c r="B56" s="7" t="s">
        <v>22</v>
      </c>
      <c r="C56" s="13">
        <f t="shared" si="2"/>
        <v>33117</v>
      </c>
      <c r="D56" s="20">
        <f t="shared" si="3"/>
        <v>4</v>
      </c>
      <c r="E56" s="21">
        <f t="shared" si="4"/>
        <v>8279.25</v>
      </c>
    </row>
    <row r="57" spans="2:5" x14ac:dyDescent="0.35">
      <c r="B57" s="7" t="s">
        <v>16</v>
      </c>
      <c r="C57" s="13">
        <f t="shared" si="2"/>
        <v>22738</v>
      </c>
      <c r="D57" s="20">
        <f t="shared" si="3"/>
        <v>5</v>
      </c>
      <c r="E57" s="21">
        <f t="shared" si="4"/>
        <v>4547.6000000000004</v>
      </c>
    </row>
    <row r="58" spans="2:5" x14ac:dyDescent="0.35">
      <c r="B58" s="8" t="s">
        <v>28</v>
      </c>
      <c r="C58" s="14">
        <f>SUM(C51:C57)</f>
        <v>161519</v>
      </c>
      <c r="D58" s="22">
        <f>SUM(D51:D57)</f>
        <v>30</v>
      </c>
      <c r="E58" s="9">
        <f>SUMPRODUCT(D51:D57,E51:E57)/SUM(D51:D57)</f>
        <v>5383.9666666666662</v>
      </c>
    </row>
    <row r="61" spans="2:5" x14ac:dyDescent="0.35">
      <c r="B61" s="10" t="s">
        <v>15</v>
      </c>
      <c r="C61" s="12" t="s">
        <v>34</v>
      </c>
      <c r="D61" s="12" t="s">
        <v>35</v>
      </c>
      <c r="E61" s="11" t="s">
        <v>36</v>
      </c>
    </row>
    <row r="62" spans="2:5" x14ac:dyDescent="0.35">
      <c r="B62" s="7" t="s">
        <v>17</v>
      </c>
      <c r="C62" s="23">
        <f>D51/$D$58</f>
        <v>0.16666666666666666</v>
      </c>
      <c r="D62" s="23">
        <f>D41</f>
        <v>0.17861675716169614</v>
      </c>
      <c r="E62" s="25">
        <f>D62-C62</f>
        <v>1.1950090495029486E-2</v>
      </c>
    </row>
    <row r="63" spans="2:5" x14ac:dyDescent="0.35">
      <c r="B63" s="7" t="s">
        <v>18</v>
      </c>
      <c r="C63" s="23">
        <f t="shared" ref="C63:C68" si="5">D52/$D$58</f>
        <v>0.13333333333333333</v>
      </c>
      <c r="D63" s="23">
        <f t="shared" ref="D63:D68" si="6">D42</f>
        <v>6.9663630904104157E-2</v>
      </c>
      <c r="E63" s="25">
        <f t="shared" ref="E63:E68" si="7">D63-C63</f>
        <v>-6.3669702429229175E-2</v>
      </c>
    </row>
    <row r="64" spans="2:5" x14ac:dyDescent="0.35">
      <c r="B64" s="7" t="s">
        <v>19</v>
      </c>
      <c r="C64" s="23">
        <f t="shared" si="5"/>
        <v>0.13333333333333333</v>
      </c>
      <c r="D64" s="23">
        <f t="shared" si="6"/>
        <v>0.1940514738204174</v>
      </c>
      <c r="E64" s="25">
        <f t="shared" si="7"/>
        <v>6.0718140487084071E-2</v>
      </c>
    </row>
    <row r="65" spans="2:5" x14ac:dyDescent="0.35">
      <c r="B65" s="7" t="s">
        <v>20</v>
      </c>
      <c r="C65" s="23">
        <f t="shared" si="5"/>
        <v>0.13333333333333333</v>
      </c>
      <c r="D65" s="23">
        <f t="shared" si="6"/>
        <v>0.16589998699843361</v>
      </c>
      <c r="E65" s="25">
        <f t="shared" si="7"/>
        <v>3.2566653665100281E-2</v>
      </c>
    </row>
    <row r="66" spans="2:5" x14ac:dyDescent="0.35">
      <c r="B66" s="7" t="s">
        <v>21</v>
      </c>
      <c r="C66" s="23">
        <f t="shared" si="5"/>
        <v>0.13333333333333333</v>
      </c>
      <c r="D66" s="23">
        <f t="shared" si="6"/>
        <v>4.5957441539385462E-2</v>
      </c>
      <c r="E66" s="25">
        <f t="shared" si="7"/>
        <v>-8.7375891793947863E-2</v>
      </c>
    </row>
    <row r="67" spans="2:5" x14ac:dyDescent="0.35">
      <c r="B67" s="7" t="s">
        <v>22</v>
      </c>
      <c r="C67" s="23">
        <f t="shared" si="5"/>
        <v>0.13333333333333333</v>
      </c>
      <c r="D67" s="23">
        <f t="shared" si="6"/>
        <v>0.20503470179978825</v>
      </c>
      <c r="E67" s="25">
        <f t="shared" si="7"/>
        <v>7.1701368466454918E-2</v>
      </c>
    </row>
    <row r="68" spans="2:5" x14ac:dyDescent="0.35">
      <c r="B68" s="7" t="s">
        <v>16</v>
      </c>
      <c r="C68" s="23">
        <f t="shared" si="5"/>
        <v>0.16666666666666666</v>
      </c>
      <c r="D68" s="23">
        <f t="shared" si="6"/>
        <v>0.14077600777617494</v>
      </c>
      <c r="E68" s="25">
        <f t="shared" si="7"/>
        <v>-2.5890658890491719E-2</v>
      </c>
    </row>
    <row r="69" spans="2:5" x14ac:dyDescent="0.35">
      <c r="B69" s="8" t="s">
        <v>28</v>
      </c>
      <c r="C69" s="24">
        <f>SUM(C62:C68)</f>
        <v>0.99999999999999989</v>
      </c>
      <c r="D69" s="24">
        <f>SUM(D62:D68)</f>
        <v>0.99999999999999989</v>
      </c>
      <c r="E69" s="16"/>
    </row>
  </sheetData>
  <mergeCells count="41">
    <mergeCell ref="T2:AA2"/>
    <mergeCell ref="T5:AA5"/>
    <mergeCell ref="T6:AA6"/>
    <mergeCell ref="T9:AA9"/>
    <mergeCell ref="T17:AA17"/>
    <mergeCell ref="T11:AA11"/>
    <mergeCell ref="T12:AA12"/>
    <mergeCell ref="T13:AA13"/>
    <mergeCell ref="T4:AA4"/>
    <mergeCell ref="T8:AA8"/>
    <mergeCell ref="T10:AA10"/>
    <mergeCell ref="T7:AA7"/>
    <mergeCell ref="T14:AA14"/>
    <mergeCell ref="T15:AA15"/>
    <mergeCell ref="T16:AA16"/>
    <mergeCell ref="T19:AA19"/>
    <mergeCell ref="T20:AA20"/>
    <mergeCell ref="T38:AA38"/>
    <mergeCell ref="T1:AA1"/>
    <mergeCell ref="T3:AA3"/>
    <mergeCell ref="AC4:AH6"/>
    <mergeCell ref="B2:D2"/>
    <mergeCell ref="T18:AA18"/>
    <mergeCell ref="T31:AA31"/>
    <mergeCell ref="T32:AA32"/>
    <mergeCell ref="T33:AA33"/>
    <mergeCell ref="T34:AA34"/>
    <mergeCell ref="T35:AA35"/>
    <mergeCell ref="T36:AA36"/>
    <mergeCell ref="T23:AA23"/>
    <mergeCell ref="T25:AA25"/>
    <mergeCell ref="T27:AA27"/>
    <mergeCell ref="T28:AA28"/>
    <mergeCell ref="B36:D36"/>
    <mergeCell ref="T21:AA21"/>
    <mergeCell ref="T22:AA22"/>
    <mergeCell ref="T24:AA24"/>
    <mergeCell ref="T37:AA37"/>
    <mergeCell ref="T29:AA29"/>
    <mergeCell ref="T30:AA30"/>
    <mergeCell ref="T26:AA2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Florida Crystals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Shiyan Leelananda</dc:creator>
  <cp:lastModifiedBy>Shiyan Leelananda</cp:lastModifiedBy>
  <dcterms:created xsi:type="dcterms:W3CDTF">2026-01-27T12:19:34Z</dcterms:created>
  <dcterms:modified xsi:type="dcterms:W3CDTF">2026-01-29T13:26:38Z</dcterms:modified>
</cp:coreProperties>
</file>